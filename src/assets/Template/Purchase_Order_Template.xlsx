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EB4022C-6D61-4952-91BD-34DE2661DB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 Lttr" sheetId="4" r:id="rId1"/>
    <sheet name="T&amp;C" sheetId="1" r:id="rId2"/>
    <sheet name="Qty-Rates &amp; Tech Sch" sheetId="7" r:id="rId3"/>
  </sheets>
  <definedNames>
    <definedName name="_xlnm.Print_Area" localSheetId="2">'Qty-Rates &amp; Tech Sch'!$A$1:$H$27</definedName>
    <definedName name="_xlnm.Print_Area" localSheetId="1">'T&amp;C'!$A$1:$C$33</definedName>
    <definedName name="_xlnm.Print_Titles" localSheetId="2">'Qty-Rates &amp; Tech Sch'!$1:$11</definedName>
    <definedName name="_xlnm.Print_Titles" localSheetId="1">'T&amp;C'!$1:$7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7" l="1"/>
  <c r="J12" i="7"/>
  <c r="H12" i="7"/>
  <c r="H13" i="7" l="1"/>
  <c r="H15" i="7" s="1"/>
  <c r="H16" i="7" s="1"/>
  <c r="H18" i="7" l="1"/>
</calcChain>
</file>

<file path=xl/sharedStrings.xml><?xml version="1.0" encoding="utf-8"?>
<sst xmlns="http://schemas.openxmlformats.org/spreadsheetml/2006/main" count="118" uniqueCount="85">
  <si>
    <t>PURCHASE ORDER</t>
  </si>
  <si>
    <t>TERMS &amp; CONDITIONS</t>
  </si>
  <si>
    <t>Unit Rate</t>
  </si>
  <si>
    <t>Quantity</t>
  </si>
  <si>
    <t>Taxes &amp; Forms</t>
  </si>
  <si>
    <t>Transportation</t>
  </si>
  <si>
    <t>Transit Insurance</t>
  </si>
  <si>
    <t>Packing</t>
  </si>
  <si>
    <t>Delivery Period</t>
  </si>
  <si>
    <t>Payment Terms</t>
  </si>
  <si>
    <t>Test Certificates</t>
  </si>
  <si>
    <t>Discrepancy in Supplies</t>
  </si>
  <si>
    <t>Jurisdiction</t>
  </si>
  <si>
    <t>:</t>
  </si>
  <si>
    <t>Quantity Variation</t>
  </si>
  <si>
    <t>Authorised Signatory</t>
  </si>
  <si>
    <t>Signed</t>
  </si>
  <si>
    <t>Accepted as above</t>
  </si>
  <si>
    <t>Dear Sir,</t>
  </si>
  <si>
    <t>Thanking You,</t>
  </si>
  <si>
    <t>Truly Yours,</t>
  </si>
  <si>
    <t>Road Permit / Way Bill</t>
  </si>
  <si>
    <t>Schedule of Terms &amp; Condition are Technical Data are enclosed.</t>
  </si>
  <si>
    <t xml:space="preserve"> Any dispute arising in the said order shall subject to
 Mumbai Jurisdiction</t>
  </si>
  <si>
    <t xml:space="preserve">Assessable Value : </t>
  </si>
  <si>
    <t>N.A.</t>
  </si>
  <si>
    <t xml:space="preserve">Grand Total : </t>
  </si>
  <si>
    <r>
      <t>#</t>
    </r>
    <r>
      <rPr>
        <sz val="11"/>
        <rFont val="Calibri"/>
        <family val="2"/>
      </rPr>
      <t xml:space="preserve">   Subject to the Terms stated in enclosed Commercial Terms &amp; Conditions Annexure.</t>
    </r>
  </si>
  <si>
    <t xml:space="preserve"> As per Quantity &amp; Rate Schedule</t>
  </si>
  <si>
    <t>Special Instructions</t>
  </si>
  <si>
    <t>Despatch Insturctions</t>
  </si>
  <si>
    <t xml:space="preserve"> At your Cost</t>
  </si>
  <si>
    <t>Quantity &amp; Rate Schedule</t>
  </si>
  <si>
    <r>
      <t>Office</t>
    </r>
    <r>
      <rPr>
        <sz val="9"/>
        <rFont val="Calibri"/>
        <family val="2"/>
      </rPr>
      <t xml:space="preserve"> : A N House, 4th Floor, TPS-III, 31st Road, Bandra(W), MUMBAI - 400050</t>
    </r>
  </si>
  <si>
    <t>Tele Fax (022) 16441702, 26441740 : info@navbharatgroup.com</t>
  </si>
  <si>
    <t xml:space="preserve"> Standard Packing</t>
  </si>
  <si>
    <t>Specifications</t>
  </si>
  <si>
    <t>Sr. No.</t>
  </si>
  <si>
    <t>Round off</t>
  </si>
  <si>
    <t>HSN CODE</t>
  </si>
  <si>
    <t>GSTIN</t>
  </si>
  <si>
    <t>Material Description</t>
  </si>
  <si>
    <t>IGST @ 18%</t>
  </si>
  <si>
    <t>Sub Total:</t>
  </si>
  <si>
    <t>Contact Person</t>
  </si>
  <si>
    <t>Communication Address</t>
  </si>
  <si>
    <r>
      <rPr>
        <b/>
        <sz val="11"/>
        <rFont val="Calibri"/>
        <family val="2"/>
      </rPr>
      <t xml:space="preserve"> Documents to be sent with the lorry - </t>
    </r>
    <r>
      <rPr>
        <sz val="11"/>
        <rFont val="Calibri"/>
        <family val="2"/>
      </rPr>
      <t xml:space="preserve">
 1) Invoice, 2) Delivery Challan, 3) Packing List, 
 4) Test Certificate(Original), 5) Lorry receipt
 </t>
    </r>
    <r>
      <rPr>
        <b/>
        <sz val="11"/>
        <rFont val="Calibri"/>
        <family val="2"/>
      </rPr>
      <t>Note</t>
    </r>
    <r>
      <rPr>
        <sz val="11"/>
        <rFont val="Calibri"/>
        <family val="2"/>
      </rPr>
      <t xml:space="preserve"> - ONE Set of all the above documents to be sent at
 communication address.</t>
    </r>
  </si>
  <si>
    <t>Rate/Uom</t>
  </si>
  <si>
    <t>Amount (Rs.)</t>
  </si>
  <si>
    <t>E-Way bill required.</t>
  </si>
  <si>
    <t>Uom</t>
  </si>
  <si>
    <t xml:space="preserve"> </t>
  </si>
  <si>
    <t>P &amp; F Charges</t>
  </si>
  <si>
    <t>Included</t>
  </si>
  <si>
    <t xml:space="preserve"> Short Supplies / Non Specifed materials / Damaged Materials shall be replaced at no extra cost.</t>
  </si>
  <si>
    <t>For, Navbharat Insulation &amp; Engg. Co.</t>
  </si>
  <si>
    <r>
      <t xml:space="preserve">All original documents i.e. invoice, despatch documents shall be sent to our following address:
</t>
    </r>
    <r>
      <rPr>
        <b/>
        <sz val="11"/>
        <rFont val="Calibri"/>
        <family val="2"/>
      </rPr>
      <t>Navbharat Insulation &amp; Engg. Co.
A N House, 4th Floor, TPS III, 31st Road, Opp. Shopper Stop, Linking Road, Bandra (W), Mumbai - 400 050</t>
    </r>
  </si>
  <si>
    <t>Navbharat Insulation &amp; Engg. Co.
A N House, 4th Floor, TPS III, 31st Road, Opp. Shopper Stop, 
Linking Road, Bandra (W), Mumbai - 400 050</t>
  </si>
  <si>
    <t>Navbharat Insulation &amp; Engg. Co., 
27AAHPK4195P1ZZ    State Name : Maharashtra, Code : 27</t>
  </si>
  <si>
    <t>Packing &amp; Forwarding</t>
  </si>
  <si>
    <t>Ship To  / Delivery Address</t>
  </si>
  <si>
    <t>Bill To / Billing Address</t>
  </si>
  <si>
    <t>Navbharat Insulation &amp; Engg. Co.</t>
  </si>
  <si>
    <t xml:space="preserve"> 1) Rates mentioned above will remain fixed &amp; firm till the 
 completion of supply against this order</t>
  </si>
  <si>
    <t>No. of Box</t>
  </si>
  <si>
    <t>Rolls per Box</t>
  </si>
  <si>
    <t>Length in Mtrs</t>
  </si>
  <si>
    <t>No. of Rolls</t>
  </si>
  <si>
    <t xml:space="preserve"> Not Applicable</t>
  </si>
  <si>
    <t xml:space="preserve"> 'IGST @ 18% - Extra on Unit Rate</t>
  </si>
  <si>
    <t xml:space="preserve"> Manufacturers Test Certificate (in original) will be required Prior to despatch
 of material</t>
  </si>
  <si>
    <t>Mr. Prashant (Mob. No. 84599 80621)</t>
  </si>
  <si>
    <t>NIEC/MUM/PO/MEG LLP/46/2025-26</t>
  </si>
  <si>
    <t>Date: 27.11.2025</t>
  </si>
  <si>
    <t>Sub. : Purchase Order for Supply of Aluminium Foil</t>
  </si>
  <si>
    <t>This refers to our requirement &amp; reference to your final offer thru WA/email Dtd 27th Nov 2025, we are pleased to place an order on you towards supply of Aluminium Foil</t>
  </si>
  <si>
    <t>ORDER REFERENCE : NIEC/MUM/PO/MEG LLP/46/2025-26 Dt. 27.11.2025</t>
  </si>
  <si>
    <t xml:space="preserve"> Extra - at actuals</t>
  </si>
  <si>
    <t xml:space="preserve"> Immediate</t>
  </si>
  <si>
    <t xml:space="preserve"> 100% Advance agst Proforma Invoice</t>
  </si>
  <si>
    <t>Aluminium Foil</t>
  </si>
  <si>
    <t>Kg</t>
  </si>
  <si>
    <t>Grade: 8011 H14 (H) Alu
Rivan Alu 8011
Thickness 0.10MM
Roll Width 915MM</t>
  </si>
  <si>
    <t>In Words - Rs. One Lac Eight Thousand Four Hundred Sixty Five Only</t>
  </si>
  <si>
    <t>For Metalco Extrusions Global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</si>
</sst>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[$Rs.-4009]\ * #,##0.00_ ;_ [$Rs.-4009]\ * \-#,##0.00_ ;_ [$Rs.-4009]\ * &quot;-&quot;??_ ;_ @_ "/>
    <numFmt numFmtId="166" formatCode="_(* #,##0_);_(* \(#,##0\);_(* &quot;-&quot;??_);_(@_)"/>
  </numFmts>
  <fonts count="25" x14ac:knownFonts="1">
    <font>
      <sz val="10"/>
      <name val="Arial"/>
    </font>
    <font>
      <sz val="8"/>
      <name val="Arial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12"/>
      <name val="Calibri"/>
      <family val="2"/>
    </font>
    <font>
      <sz val="12"/>
      <name val="Arial"/>
      <family val="2"/>
    </font>
    <font>
      <b/>
      <sz val="14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3"/>
      <name val="Calibri"/>
      <family val="2"/>
    </font>
    <font>
      <sz val="11"/>
      <name val="Arial"/>
      <family val="2"/>
    </font>
    <font>
      <b/>
      <sz val="1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4" fontId="1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17" fillId="0" borderId="0"/>
    <xf numFmtId="164" fontId="20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6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horizontal="center" vertical="center"/>
    </xf>
    <xf numFmtId="0" fontId="7" fillId="0" borderId="0" xfId="4" applyAlignment="1">
      <alignment vertical="center"/>
    </xf>
    <xf numFmtId="0" fontId="4" fillId="0" borderId="0" xfId="4" applyFont="1" applyAlignment="1">
      <alignment horizontal="center" vertical="center"/>
    </xf>
    <xf numFmtId="0" fontId="7" fillId="0" borderId="0" xfId="4" applyAlignment="1">
      <alignment horizontal="center" vertical="center"/>
    </xf>
    <xf numFmtId="0" fontId="14" fillId="0" borderId="0" xfId="4" applyFont="1" applyAlignment="1">
      <alignment vertic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right" vertical="center"/>
    </xf>
    <xf numFmtId="0" fontId="2" fillId="0" borderId="0" xfId="4" applyFont="1" applyAlignment="1">
      <alignment vertical="center"/>
    </xf>
    <xf numFmtId="0" fontId="7" fillId="0" borderId="0" xfId="4" applyAlignment="1">
      <alignment horizontal="center" vertical="center" wrapText="1"/>
    </xf>
    <xf numFmtId="165" fontId="4" fillId="0" borderId="1" xfId="4" applyNumberFormat="1" applyFont="1" applyBorder="1" applyAlignment="1">
      <alignment vertical="center"/>
    </xf>
    <xf numFmtId="0" fontId="4" fillId="0" borderId="1" xfId="4" applyFont="1" applyBorder="1" applyAlignment="1">
      <alignment vertical="center"/>
    </xf>
    <xf numFmtId="49" fontId="11" fillId="0" borderId="1" xfId="4" applyNumberFormat="1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11" fillId="0" borderId="2" xfId="4" applyFont="1" applyBorder="1" applyAlignment="1">
      <alignment horizontal="right" vertical="center"/>
    </xf>
    <xf numFmtId="0" fontId="4" fillId="0" borderId="2" xfId="4" applyFont="1" applyBorder="1" applyAlignment="1">
      <alignment horizontal="right" vertical="center"/>
    </xf>
    <xf numFmtId="0" fontId="4" fillId="0" borderId="3" xfId="4" applyFont="1" applyBorder="1" applyAlignment="1">
      <alignment horizontal="right" vertical="center"/>
    </xf>
    <xf numFmtId="0" fontId="14" fillId="0" borderId="0" xfId="4" applyFont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4" fillId="0" borderId="5" xfId="4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166" fontId="4" fillId="0" borderId="5" xfId="4" applyNumberFormat="1" applyFont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4" fillId="0" borderId="5" xfId="1" applyFont="1" applyFill="1" applyBorder="1" applyAlignment="1">
      <alignment vertical="center"/>
    </xf>
    <xf numFmtId="0" fontId="0" fillId="3" borderId="0" xfId="0" applyFill="1"/>
    <xf numFmtId="164" fontId="11" fillId="0" borderId="1" xfId="7" applyFont="1" applyBorder="1" applyAlignment="1">
      <alignment vertical="center"/>
    </xf>
    <xf numFmtId="0" fontId="15" fillId="0" borderId="1" xfId="4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164" fontId="21" fillId="0" borderId="1" xfId="2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1" fillId="0" borderId="1" xfId="2" applyFont="1" applyBorder="1" applyAlignment="1">
      <alignment vertical="center"/>
    </xf>
    <xf numFmtId="0" fontId="11" fillId="0" borderId="1" xfId="0" quotePrefix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 wrapText="1"/>
    </xf>
    <xf numFmtId="164" fontId="21" fillId="0" borderId="0" xfId="2" applyFont="1" applyBorder="1" applyAlignment="1">
      <alignment vertical="center"/>
    </xf>
    <xf numFmtId="164" fontId="4" fillId="0" borderId="0" xfId="1" applyFont="1" applyFill="1" applyBorder="1" applyAlignment="1">
      <alignment vertical="center"/>
    </xf>
    <xf numFmtId="164" fontId="11" fillId="0" borderId="0" xfId="7" applyFont="1" applyBorder="1" applyAlignment="1">
      <alignment vertical="center"/>
    </xf>
    <xf numFmtId="165" fontId="4" fillId="0" borderId="0" xfId="4" applyNumberFormat="1" applyFont="1" applyAlignment="1">
      <alignment vertical="center"/>
    </xf>
    <xf numFmtId="0" fontId="4" fillId="0" borderId="0" xfId="4" applyFont="1" applyAlignment="1">
      <alignment horizontal="left" vertical="center"/>
    </xf>
    <xf numFmtId="43" fontId="7" fillId="0" borderId="0" xfId="4" applyNumberForma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1" xfId="4" applyFont="1" applyBorder="1" applyAlignment="1">
      <alignment horizontal="left" vertical="center"/>
    </xf>
    <xf numFmtId="0" fontId="3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0" xfId="4" applyFont="1" applyAlignment="1">
      <alignment horizontal="right" vertical="center"/>
    </xf>
    <xf numFmtId="0" fontId="14" fillId="0" borderId="2" xfId="4" applyFont="1" applyBorder="1" applyAlignment="1">
      <alignment horizontal="right" vertical="center"/>
    </xf>
  </cellXfs>
  <cellStyles count="8">
    <cellStyle name="Comma" xfId="7" builtinId="3"/>
    <cellStyle name="Comma 2" xfId="1" xr:uid="{00000000-0005-0000-0000-000001000000}"/>
    <cellStyle name="Comma 2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2 2 2" xfId="5" xr:uid="{00000000-0005-0000-0000-000006000000}"/>
    <cellStyle name="Normal 3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0</xdr:row>
      <xdr:rowOff>19050</xdr:rowOff>
    </xdr:from>
    <xdr:to>
      <xdr:col>5</xdr:col>
      <xdr:colOff>238125</xdr:colOff>
      <xdr:row>3</xdr:row>
      <xdr:rowOff>133350</xdr:rowOff>
    </xdr:to>
    <xdr:pic>
      <xdr:nvPicPr>
        <xdr:cNvPr id="4813" name="Picture 1" descr="LOGO.jpg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47900" y="19050"/>
          <a:ext cx="1038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171061</xdr:rowOff>
    </xdr:from>
    <xdr:to>
      <xdr:col>2</xdr:col>
      <xdr:colOff>268539</xdr:colOff>
      <xdr:row>35</xdr:row>
      <xdr:rowOff>40745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67061"/>
          <a:ext cx="1481519" cy="1051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2</xdr:col>
      <xdr:colOff>1781175</xdr:colOff>
      <xdr:row>3</xdr:row>
      <xdr:rowOff>47625</xdr:rowOff>
    </xdr:to>
    <xdr:pic>
      <xdr:nvPicPr>
        <xdr:cNvPr id="3" name="Picture 1" descr="LOG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5" y="57150"/>
          <a:ext cx="1038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73722</xdr:colOff>
      <xdr:row>28</xdr:row>
      <xdr:rowOff>198119</xdr:rowOff>
    </xdr:from>
    <xdr:to>
      <xdr:col>0</xdr:col>
      <xdr:colOff>1555241</xdr:colOff>
      <xdr:row>31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2" y="9418319"/>
          <a:ext cx="1481519" cy="10515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0</xdr:row>
      <xdr:rowOff>47625</xdr:rowOff>
    </xdr:from>
    <xdr:to>
      <xdr:col>3</xdr:col>
      <xdr:colOff>1622425</xdr:colOff>
      <xdr:row>4</xdr:row>
      <xdr:rowOff>0</xdr:rowOff>
    </xdr:to>
    <xdr:pic>
      <xdr:nvPicPr>
        <xdr:cNvPr id="17508" name="Picture 1" descr="LOGO.jpg">
          <a:extLst>
            <a:ext uri="{FF2B5EF4-FFF2-40B4-BE49-F238E27FC236}">
              <a16:creationId xmlns:a16="http://schemas.microsoft.com/office/drawing/2014/main" id="{00000000-0008-0000-0200-0000644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97860" y="47625"/>
          <a:ext cx="1038225" cy="622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53340</xdr:colOff>
      <xdr:row>22</xdr:row>
      <xdr:rowOff>167640</xdr:rowOff>
    </xdr:from>
    <xdr:to>
      <xdr:col>1</xdr:col>
      <xdr:colOff>1161479</xdr:colOff>
      <xdr:row>24</xdr:row>
      <xdr:rowOff>800101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355080"/>
          <a:ext cx="1481519" cy="1051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39"/>
  <sheetViews>
    <sheetView tabSelected="1" topLeftCell="A36" zoomScale="98" zoomScaleNormal="98" workbookViewId="0">
      <selection activeCell="F49" sqref="F49"/>
    </sheetView>
  </sheetViews>
  <sheetFormatPr defaultRowHeight="12.5" x14ac:dyDescent="0.25"/>
  <sheetData>
    <row r="5" spans="1:9" ht="21" x14ac:dyDescent="0.25">
      <c r="A5" s="66" t="s">
        <v>62</v>
      </c>
      <c r="B5" s="66"/>
      <c r="C5" s="66"/>
      <c r="D5" s="66"/>
      <c r="E5" s="66"/>
      <c r="F5" s="66"/>
      <c r="G5" s="66"/>
      <c r="H5" s="66"/>
      <c r="I5" s="66"/>
    </row>
    <row r="6" spans="1:9" ht="13" x14ac:dyDescent="0.3">
      <c r="A6" s="67" t="s">
        <v>33</v>
      </c>
      <c r="B6" s="67"/>
      <c r="C6" s="67"/>
      <c r="D6" s="67"/>
      <c r="E6" s="67"/>
      <c r="F6" s="67"/>
      <c r="G6" s="67"/>
      <c r="H6" s="67"/>
      <c r="I6" s="67"/>
    </row>
    <row r="7" spans="1:9" ht="13" x14ac:dyDescent="0.3">
      <c r="A7" s="68" t="s">
        <v>34</v>
      </c>
      <c r="B7" s="68"/>
      <c r="C7" s="68"/>
      <c r="D7" s="68"/>
      <c r="E7" s="68"/>
      <c r="F7" s="68"/>
      <c r="G7" s="68"/>
      <c r="H7" s="68"/>
      <c r="I7" s="68"/>
    </row>
    <row r="8" spans="1:9" ht="8.25" customHeight="1" x14ac:dyDescent="0.3">
      <c r="A8" s="5"/>
      <c r="B8" s="5"/>
      <c r="C8" s="5"/>
      <c r="D8" s="5"/>
      <c r="E8" s="5"/>
      <c r="F8" s="5"/>
      <c r="G8" s="5"/>
      <c r="H8" s="5"/>
    </row>
    <row r="9" spans="1:9" ht="0.75" customHeight="1" x14ac:dyDescent="0.3">
      <c r="A9" s="7"/>
      <c r="B9" s="7"/>
      <c r="C9" s="7"/>
      <c r="D9" s="7"/>
      <c r="E9" s="7"/>
      <c r="F9" s="7"/>
      <c r="G9" s="7"/>
      <c r="H9" s="7"/>
      <c r="I9" s="42"/>
    </row>
    <row r="10" spans="1:9" ht="8.25" customHeight="1" x14ac:dyDescent="0.3">
      <c r="A10" s="6"/>
      <c r="B10" s="6"/>
      <c r="C10" s="6"/>
      <c r="D10" s="6"/>
      <c r="E10" s="6"/>
      <c r="F10" s="6"/>
      <c r="G10" s="6"/>
      <c r="H10" s="6"/>
    </row>
    <row r="11" spans="1:9" s="9" customFormat="1" ht="15.5" x14ac:dyDescent="0.35">
      <c r="A11" s="8" t="s">
        <v>72</v>
      </c>
      <c r="B11" s="8"/>
      <c r="C11" s="8"/>
      <c r="D11" s="8"/>
      <c r="E11" s="8"/>
      <c r="F11" s="8"/>
      <c r="H11" s="69" t="s">
        <v>73</v>
      </c>
      <c r="I11" s="69"/>
    </row>
    <row r="12" spans="1:9" s="9" customFormat="1" ht="15.5" x14ac:dyDescent="0.35">
      <c r="A12" s="8"/>
      <c r="B12" s="8"/>
      <c r="C12" s="8"/>
      <c r="D12" s="8"/>
      <c r="E12" s="8"/>
      <c r="F12" s="8"/>
      <c r="G12" s="8"/>
      <c r="H12" s="8"/>
    </row>
    <row r="13" spans="1:9" s="9" customFormat="1" ht="15.5" x14ac:dyDescent="0.35">
      <c r="A13" s="8"/>
      <c r="B13" s="8"/>
      <c r="C13" s="8"/>
      <c r="D13" s="8"/>
      <c r="E13" s="8"/>
      <c r="F13" s="8"/>
      <c r="G13" s="8"/>
      <c r="H13" s="8"/>
    </row>
    <row r="14" spans="1:9" s="9" customFormat="1" ht="15.5" x14ac:dyDescent="0.35">
      <c r="A14" s="8"/>
      <c r="B14" s="8"/>
      <c r="C14" s="8"/>
      <c r="D14" s="8"/>
      <c r="E14" s="8"/>
      <c r="F14" s="8"/>
      <c r="G14" s="8"/>
      <c r="H14" s="8"/>
    </row>
    <row r="15" spans="1:9" s="9" customFormat="1" ht="15.5" x14ac:dyDescent="0.35">
      <c r="A15" s="16"/>
      <c r="B15" s="8"/>
      <c r="C15" s="8"/>
      <c r="D15" s="8"/>
      <c r="E15" s="8"/>
      <c r="F15" s="8"/>
      <c r="G15" s="8"/>
      <c r="H15" s="8"/>
    </row>
    <row r="16" spans="1:9" s="9" customFormat="1" ht="15.5" x14ac:dyDescent="0.35">
      <c r="A16" s="16"/>
      <c r="B16" s="8"/>
      <c r="C16" s="8"/>
      <c r="D16" s="8"/>
      <c r="E16" s="8"/>
      <c r="F16" s="8"/>
      <c r="G16" s="8"/>
      <c r="H16" s="8"/>
    </row>
    <row r="17" spans="1:9" s="9" customFormat="1" ht="15.5" x14ac:dyDescent="0.35">
      <c r="A17" s="16"/>
      <c r="B17" s="8"/>
      <c r="C17" s="8"/>
      <c r="D17" s="8"/>
      <c r="E17" s="8"/>
      <c r="F17" s="8"/>
      <c r="G17" s="8"/>
      <c r="H17" s="8"/>
    </row>
    <row r="18" spans="1:9" s="9" customFormat="1" ht="15.5" x14ac:dyDescent="0.35">
      <c r="A18" s="16"/>
      <c r="B18" s="8"/>
      <c r="C18" s="8"/>
      <c r="D18" s="8"/>
      <c r="E18" s="8"/>
      <c r="F18" s="8"/>
      <c r="G18" s="8"/>
      <c r="H18" s="8"/>
    </row>
    <row r="19" spans="1:9" s="9" customFormat="1" ht="15.5" x14ac:dyDescent="0.35">
      <c r="A19" s="8"/>
      <c r="B19" s="8"/>
      <c r="C19" s="8"/>
      <c r="D19" s="8"/>
      <c r="E19" s="8"/>
      <c r="F19" s="8"/>
      <c r="G19" s="8"/>
      <c r="H19" s="8"/>
    </row>
    <row r="20" spans="1:9" s="9" customFormat="1" ht="15.5" x14ac:dyDescent="0.35">
      <c r="A20" s="8" t="s">
        <v>74</v>
      </c>
      <c r="B20" s="8"/>
      <c r="C20" s="8"/>
      <c r="D20" s="8"/>
      <c r="E20" s="8"/>
      <c r="F20" s="8"/>
      <c r="G20" s="8"/>
      <c r="H20" s="8"/>
    </row>
    <row r="21" spans="1:9" s="9" customFormat="1" ht="15.5" x14ac:dyDescent="0.35">
      <c r="A21" s="8"/>
      <c r="B21" s="8"/>
      <c r="C21" s="8"/>
      <c r="D21" s="8"/>
      <c r="E21" s="8"/>
      <c r="F21" s="8"/>
      <c r="G21" s="8"/>
      <c r="H21" s="8"/>
    </row>
    <row r="22" spans="1:9" s="9" customFormat="1" ht="15.5" x14ac:dyDescent="0.35">
      <c r="A22" s="8"/>
      <c r="B22" s="8"/>
      <c r="C22" s="8"/>
      <c r="D22" s="8"/>
      <c r="E22" s="8"/>
      <c r="F22" s="8"/>
      <c r="G22" s="8"/>
      <c r="H22" s="8"/>
    </row>
    <row r="23" spans="1:9" s="9" customFormat="1" ht="15.5" x14ac:dyDescent="0.35">
      <c r="A23" s="8" t="s">
        <v>18</v>
      </c>
      <c r="B23" s="8"/>
      <c r="C23" s="8"/>
      <c r="D23" s="8"/>
      <c r="E23" s="8"/>
      <c r="F23" s="8"/>
      <c r="G23" s="8"/>
      <c r="H23" s="8"/>
    </row>
    <row r="24" spans="1:9" s="9" customFormat="1" ht="15.5" x14ac:dyDescent="0.35">
      <c r="A24" s="8"/>
      <c r="B24" s="8"/>
      <c r="C24" s="8"/>
      <c r="D24" s="8"/>
      <c r="E24" s="8"/>
      <c r="F24" s="8"/>
      <c r="G24" s="8"/>
      <c r="H24" s="8"/>
    </row>
    <row r="25" spans="1:9" s="9" customFormat="1" ht="66.75" customHeight="1" x14ac:dyDescent="0.35">
      <c r="A25" s="65" t="s">
        <v>75</v>
      </c>
      <c r="B25" s="65"/>
      <c r="C25" s="65"/>
      <c r="D25" s="65"/>
      <c r="E25" s="65"/>
      <c r="F25" s="65"/>
      <c r="G25" s="65"/>
      <c r="H25" s="65"/>
      <c r="I25" s="65"/>
    </row>
    <row r="26" spans="1:9" ht="20.25" customHeight="1" x14ac:dyDescent="0.35">
      <c r="B26" s="11"/>
      <c r="C26" s="11"/>
      <c r="D26" s="11"/>
      <c r="E26" s="11"/>
      <c r="F26" s="11"/>
      <c r="G26" s="11"/>
      <c r="H26" s="11"/>
    </row>
    <row r="27" spans="1:9" s="9" customFormat="1" ht="15.5" x14ac:dyDescent="0.35">
      <c r="A27" s="11" t="s">
        <v>22</v>
      </c>
      <c r="B27" s="8"/>
      <c r="C27" s="8"/>
      <c r="D27" s="8"/>
      <c r="E27" s="8"/>
      <c r="F27" s="8"/>
      <c r="G27" s="8"/>
      <c r="H27" s="8"/>
    </row>
    <row r="28" spans="1:9" s="9" customFormat="1" ht="15.5" x14ac:dyDescent="0.35">
      <c r="A28" s="8"/>
      <c r="B28" s="8"/>
      <c r="C28" s="8"/>
      <c r="D28" s="8"/>
      <c r="E28" s="8"/>
      <c r="F28" s="8"/>
      <c r="G28" s="8"/>
      <c r="H28" s="8"/>
    </row>
    <row r="29" spans="1:9" s="9" customFormat="1" ht="15.5" x14ac:dyDescent="0.35">
      <c r="A29" s="8" t="s">
        <v>19</v>
      </c>
      <c r="B29" s="8"/>
      <c r="C29" s="8"/>
      <c r="D29" s="8"/>
      <c r="E29" s="8"/>
      <c r="F29" s="8"/>
      <c r="G29" s="8"/>
      <c r="H29" s="8"/>
    </row>
    <row r="30" spans="1:9" s="9" customFormat="1" ht="15.5" x14ac:dyDescent="0.35">
      <c r="A30" s="8"/>
      <c r="B30" s="8"/>
      <c r="C30" s="8"/>
      <c r="D30" s="8"/>
      <c r="E30" s="8"/>
      <c r="F30" s="8"/>
      <c r="G30" s="8"/>
      <c r="H30" s="8"/>
    </row>
    <row r="31" spans="1:9" s="9" customFormat="1" ht="15.5" x14ac:dyDescent="0.35">
      <c r="A31" s="8" t="s">
        <v>20</v>
      </c>
      <c r="B31" s="8"/>
      <c r="C31" s="8"/>
      <c r="D31" s="8"/>
      <c r="E31" s="8"/>
      <c r="F31" s="8"/>
      <c r="G31" s="8"/>
      <c r="H31" s="8"/>
    </row>
    <row r="32" spans="1:9" s="9" customFormat="1" ht="15.5" x14ac:dyDescent="0.35">
      <c r="A32" s="8" t="s">
        <v>55</v>
      </c>
      <c r="B32" s="8"/>
      <c r="C32" s="8"/>
      <c r="D32" s="8"/>
      <c r="E32" s="8"/>
      <c r="F32" s="8"/>
      <c r="G32" s="8"/>
      <c r="H32" s="8"/>
    </row>
    <row r="33" spans="1:8" s="9" customFormat="1" ht="15.5" x14ac:dyDescent="0.35">
      <c r="A33" s="8"/>
      <c r="B33" s="8"/>
      <c r="C33" s="8"/>
      <c r="D33" s="8"/>
      <c r="E33" s="8"/>
      <c r="F33" s="8"/>
      <c r="G33" s="8"/>
      <c r="H33" s="8"/>
    </row>
    <row r="34" spans="1:8" s="9" customFormat="1" ht="15.5" x14ac:dyDescent="0.35">
      <c r="A34" s="8"/>
      <c r="B34" s="8"/>
      <c r="C34" s="8"/>
      <c r="D34" s="8"/>
      <c r="E34" s="8"/>
      <c r="F34" s="8"/>
      <c r="G34" s="8"/>
      <c r="H34" s="8"/>
    </row>
    <row r="35" spans="1:8" s="9" customFormat="1" ht="47.4" customHeight="1" x14ac:dyDescent="0.35">
      <c r="A35" s="8"/>
      <c r="B35" s="8"/>
      <c r="C35" s="8"/>
      <c r="D35" s="8"/>
      <c r="E35" s="8"/>
      <c r="F35" s="8"/>
      <c r="G35" s="8"/>
      <c r="H35" s="8"/>
    </row>
    <row r="36" spans="1:8" s="9" customFormat="1" ht="15.5" x14ac:dyDescent="0.35">
      <c r="A36" s="8" t="s">
        <v>15</v>
      </c>
      <c r="B36" s="8"/>
      <c r="C36" s="8"/>
      <c r="D36" s="8"/>
      <c r="E36" s="8"/>
      <c r="F36" s="8"/>
      <c r="G36" s="8"/>
      <c r="H36" s="8"/>
    </row>
    <row r="37" spans="1:8" s="9" customFormat="1" ht="15.5" x14ac:dyDescent="0.35">
      <c r="A37" s="8"/>
      <c r="B37" s="8"/>
      <c r="C37" s="8"/>
      <c r="D37" s="8"/>
      <c r="E37" s="8"/>
      <c r="F37" s="8"/>
      <c r="G37" s="8"/>
      <c r="H37" s="8"/>
    </row>
    <row r="38" spans="1:8" s="9" customFormat="1" ht="15.5" x14ac:dyDescent="0.35">
      <c r="A38" s="8"/>
      <c r="B38" s="8"/>
      <c r="C38" s="8"/>
      <c r="D38" s="8"/>
      <c r="E38" s="8"/>
      <c r="F38" s="8"/>
      <c r="G38" s="8"/>
      <c r="H38" s="8"/>
    </row>
    <row r="39" spans="1:8" s="9" customFormat="1" ht="15.5" x14ac:dyDescent="0.35">
      <c r="A39" s="8"/>
      <c r="B39" s="8"/>
      <c r="C39" s="8"/>
      <c r="D39" s="8"/>
      <c r="E39" s="8"/>
      <c r="F39" s="8"/>
      <c r="G39" s="8"/>
      <c r="H39" s="8"/>
    </row>
  </sheetData>
  <mergeCells count="5">
    <mergeCell ref="A25:I25"/>
    <mergeCell ref="A5:I5"/>
    <mergeCell ref="A6:I6"/>
    <mergeCell ref="A7:I7"/>
    <mergeCell ref="H11:I11"/>
  </mergeCells>
  <phoneticPr fontId="1" type="noConversion"/>
  <printOptions horizontalCentered="1"/>
  <pageMargins left="0.75" right="0.75" top="0.75" bottom="0.75" header="0.5" footer="0.5"/>
  <pageSetup paperSize="9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opLeftCell="A24" zoomScaleNormal="100" workbookViewId="0">
      <selection activeCell="F21" sqref="F21"/>
    </sheetView>
  </sheetViews>
  <sheetFormatPr defaultColWidth="9.08984375" defaultRowHeight="12.5" x14ac:dyDescent="0.25"/>
  <cols>
    <col min="1" max="1" width="24.90625" style="1" customWidth="1"/>
    <col min="2" max="2" width="1.54296875" style="1" customWidth="1"/>
    <col min="3" max="3" width="64" style="1" customWidth="1"/>
    <col min="4" max="16384" width="9.08984375" style="1"/>
  </cols>
  <sheetData>
    <row r="1" spans="1:8" ht="10.5" customHeight="1" x14ac:dyDescent="0.25"/>
    <row r="3" spans="1:8" ht="24.75" customHeight="1" x14ac:dyDescent="0.25"/>
    <row r="4" spans="1:8" s="2" customFormat="1" ht="18" customHeight="1" x14ac:dyDescent="0.25">
      <c r="A4" s="66" t="s">
        <v>62</v>
      </c>
      <c r="B4" s="66"/>
      <c r="C4" s="66"/>
      <c r="D4" s="10"/>
      <c r="E4" s="10"/>
      <c r="F4" s="10"/>
      <c r="G4" s="10"/>
      <c r="H4" s="10"/>
    </row>
    <row r="5" spans="1:8" s="2" customFormat="1" ht="15" customHeight="1" x14ac:dyDescent="0.25">
      <c r="A5" s="66" t="s">
        <v>0</v>
      </c>
      <c r="B5" s="66"/>
      <c r="C5" s="66"/>
    </row>
    <row r="6" spans="1:8" s="2" customFormat="1" ht="15" customHeight="1" x14ac:dyDescent="0.25">
      <c r="A6" s="70" t="s">
        <v>1</v>
      </c>
      <c r="B6" s="70"/>
      <c r="C6" s="70"/>
    </row>
    <row r="7" spans="1:8" ht="17.25" customHeight="1" x14ac:dyDescent="0.25">
      <c r="A7" s="70" t="s">
        <v>76</v>
      </c>
      <c r="B7" s="70"/>
      <c r="C7" s="70"/>
    </row>
    <row r="8" spans="1:8" ht="14.5" x14ac:dyDescent="0.25">
      <c r="A8" s="12" t="s">
        <v>2</v>
      </c>
      <c r="B8" s="13" t="s">
        <v>13</v>
      </c>
      <c r="C8" s="15" t="s">
        <v>28</v>
      </c>
    </row>
    <row r="9" spans="1:8" ht="14.5" x14ac:dyDescent="0.25">
      <c r="A9" s="12" t="s">
        <v>3</v>
      </c>
      <c r="B9" s="13" t="s">
        <v>13</v>
      </c>
      <c r="C9" s="15" t="s">
        <v>28</v>
      </c>
    </row>
    <row r="10" spans="1:8" ht="14.5" x14ac:dyDescent="0.25">
      <c r="A10" s="12" t="s">
        <v>52</v>
      </c>
      <c r="B10" s="13" t="s">
        <v>13</v>
      </c>
      <c r="C10" s="14" t="s">
        <v>53</v>
      </c>
    </row>
    <row r="11" spans="1:8" ht="14.5" x14ac:dyDescent="0.25">
      <c r="A11" s="12" t="s">
        <v>14</v>
      </c>
      <c r="B11" s="13" t="s">
        <v>13</v>
      </c>
      <c r="C11" s="49" t="s">
        <v>68</v>
      </c>
    </row>
    <row r="12" spans="1:8" ht="14.5" x14ac:dyDescent="0.25">
      <c r="A12" s="12" t="s">
        <v>4</v>
      </c>
      <c r="B12" s="13" t="s">
        <v>13</v>
      </c>
      <c r="C12" s="49" t="s">
        <v>69</v>
      </c>
    </row>
    <row r="13" spans="1:8" ht="14.5" x14ac:dyDescent="0.25">
      <c r="A13" s="12" t="s">
        <v>5</v>
      </c>
      <c r="B13" s="13" t="s">
        <v>13</v>
      </c>
      <c r="C13" s="50" t="s">
        <v>77</v>
      </c>
    </row>
    <row r="14" spans="1:8" ht="17.25" customHeight="1" x14ac:dyDescent="0.25">
      <c r="A14" s="12" t="s">
        <v>6</v>
      </c>
      <c r="B14" s="13" t="s">
        <v>13</v>
      </c>
      <c r="C14" s="51" t="s">
        <v>31</v>
      </c>
    </row>
    <row r="15" spans="1:8" ht="14.5" x14ac:dyDescent="0.25">
      <c r="A15" s="12" t="s">
        <v>7</v>
      </c>
      <c r="B15" s="13" t="s">
        <v>13</v>
      </c>
      <c r="C15" s="50" t="s">
        <v>35</v>
      </c>
    </row>
    <row r="16" spans="1:8" ht="14.5" x14ac:dyDescent="0.25">
      <c r="A16" s="12" t="s">
        <v>8</v>
      </c>
      <c r="B16" s="13" t="s">
        <v>13</v>
      </c>
      <c r="C16" s="52" t="s">
        <v>78</v>
      </c>
    </row>
    <row r="17" spans="1:3" ht="14.5" x14ac:dyDescent="0.25">
      <c r="A17" s="12" t="s">
        <v>9</v>
      </c>
      <c r="B17" s="13" t="s">
        <v>13</v>
      </c>
      <c r="C17" s="50" t="s">
        <v>79</v>
      </c>
    </row>
    <row r="18" spans="1:3" ht="29.25" customHeight="1" x14ac:dyDescent="0.25">
      <c r="A18" s="12" t="s">
        <v>10</v>
      </c>
      <c r="B18" s="13" t="s">
        <v>13</v>
      </c>
      <c r="C18" s="14" t="s">
        <v>70</v>
      </c>
    </row>
    <row r="19" spans="1:3" ht="29" x14ac:dyDescent="0.25">
      <c r="A19" s="12" t="s">
        <v>11</v>
      </c>
      <c r="B19" s="13" t="s">
        <v>13</v>
      </c>
      <c r="C19" s="14" t="s">
        <v>54</v>
      </c>
    </row>
    <row r="20" spans="1:3" ht="75.75" customHeight="1" x14ac:dyDescent="0.25">
      <c r="A20" s="12" t="s">
        <v>45</v>
      </c>
      <c r="B20" s="13" t="s">
        <v>13</v>
      </c>
      <c r="C20" s="14" t="s">
        <v>56</v>
      </c>
    </row>
    <row r="21" spans="1:3" ht="14.5" x14ac:dyDescent="0.25">
      <c r="A21" s="55" t="s">
        <v>60</v>
      </c>
      <c r="B21" s="54" t="s">
        <v>13</v>
      </c>
      <c r="C21" s="15"/>
    </row>
    <row r="22" spans="1:3" ht="18.75" customHeight="1" x14ac:dyDescent="0.25">
      <c r="A22" s="12" t="s">
        <v>44</v>
      </c>
      <c r="B22" s="13" t="s">
        <v>13</v>
      </c>
      <c r="C22" s="15" t="s">
        <v>71</v>
      </c>
    </row>
    <row r="23" spans="1:3" ht="48" customHeight="1" x14ac:dyDescent="0.25">
      <c r="A23" s="12" t="s">
        <v>61</v>
      </c>
      <c r="B23" s="13" t="s">
        <v>13</v>
      </c>
      <c r="C23" s="15" t="s">
        <v>57</v>
      </c>
    </row>
    <row r="24" spans="1:3" ht="41.25" customHeight="1" x14ac:dyDescent="0.25">
      <c r="A24" s="12" t="s">
        <v>40</v>
      </c>
      <c r="B24" s="13" t="s">
        <v>13</v>
      </c>
      <c r="C24" s="15" t="s">
        <v>58</v>
      </c>
    </row>
    <row r="25" spans="1:3" ht="15.75" customHeight="1" x14ac:dyDescent="0.25">
      <c r="A25" s="12" t="s">
        <v>21</v>
      </c>
      <c r="B25" s="13" t="s">
        <v>13</v>
      </c>
      <c r="C25" s="14" t="s">
        <v>49</v>
      </c>
    </row>
    <row r="26" spans="1:3" ht="29.25" customHeight="1" x14ac:dyDescent="0.25">
      <c r="A26" s="12" t="s">
        <v>12</v>
      </c>
      <c r="B26" s="13" t="s">
        <v>13</v>
      </c>
      <c r="C26" s="14" t="s">
        <v>23</v>
      </c>
    </row>
    <row r="27" spans="1:3" ht="72.75" customHeight="1" x14ac:dyDescent="0.25">
      <c r="A27" s="12" t="s">
        <v>30</v>
      </c>
      <c r="B27" s="13" t="s">
        <v>13</v>
      </c>
      <c r="C27" s="14" t="s">
        <v>46</v>
      </c>
    </row>
    <row r="28" spans="1:3" ht="49.5" customHeight="1" x14ac:dyDescent="0.25">
      <c r="A28" s="12" t="s">
        <v>29</v>
      </c>
      <c r="B28" s="13" t="s">
        <v>13</v>
      </c>
      <c r="C28" s="52" t="s">
        <v>63</v>
      </c>
    </row>
    <row r="29" spans="1:3" ht="15.75" customHeight="1" x14ac:dyDescent="0.35">
      <c r="A29" s="8" t="s">
        <v>55</v>
      </c>
      <c r="B29" s="16"/>
    </row>
    <row r="30" spans="1:3" ht="14.5" x14ac:dyDescent="0.25">
      <c r="B30" s="16"/>
      <c r="C30" s="17" t="s">
        <v>16</v>
      </c>
    </row>
    <row r="31" spans="1:3" ht="67.75" customHeight="1" x14ac:dyDescent="0.25">
      <c r="A31" s="16"/>
      <c r="B31" s="16"/>
      <c r="C31" s="17"/>
    </row>
    <row r="32" spans="1:3" ht="14.5" x14ac:dyDescent="0.25">
      <c r="A32" s="16" t="s">
        <v>15</v>
      </c>
      <c r="B32" s="16"/>
      <c r="C32" s="17" t="s">
        <v>84</v>
      </c>
    </row>
    <row r="33" spans="1:3" ht="14.5" x14ac:dyDescent="0.25">
      <c r="A33" s="16"/>
      <c r="B33" s="16"/>
      <c r="C33" s="17" t="s">
        <v>17</v>
      </c>
    </row>
    <row r="34" spans="1:3" ht="14.5" x14ac:dyDescent="0.25">
      <c r="A34" s="16"/>
      <c r="B34" s="16"/>
    </row>
    <row r="35" spans="1:3" ht="13" x14ac:dyDescent="0.25">
      <c r="A35" s="3"/>
      <c r="B35" s="3"/>
      <c r="C35" s="4"/>
    </row>
    <row r="36" spans="1:3" ht="13" x14ac:dyDescent="0.25">
      <c r="A36" s="3"/>
      <c r="B36" s="3"/>
      <c r="C36" s="4"/>
    </row>
    <row r="37" spans="1:3" ht="13" x14ac:dyDescent="0.25">
      <c r="A37" s="3"/>
      <c r="B37" s="3"/>
    </row>
  </sheetData>
  <mergeCells count="4">
    <mergeCell ref="A4:C4"/>
    <mergeCell ref="A5:C5"/>
    <mergeCell ref="A6:C6"/>
    <mergeCell ref="A7:C7"/>
  </mergeCells>
  <phoneticPr fontId="1" type="noConversion"/>
  <printOptions horizontalCentered="1"/>
  <pageMargins left="0.35433070866141736" right="0.35433070866141736" top="0.23622047244094491" bottom="0" header="0.47244094488188981" footer="0.15748031496062992"/>
  <pageSetup paperSize="9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M36"/>
  <sheetViews>
    <sheetView zoomScaleNormal="100" workbookViewId="0">
      <selection activeCell="H27" sqref="H27"/>
    </sheetView>
  </sheetViews>
  <sheetFormatPr defaultColWidth="9.08984375" defaultRowHeight="12.5" x14ac:dyDescent="0.25"/>
  <cols>
    <col min="1" max="1" width="5.453125" style="20" customWidth="1"/>
    <col min="2" max="2" width="22.08984375" style="20" customWidth="1"/>
    <col min="3" max="3" width="10.54296875" style="20" customWidth="1"/>
    <col min="4" max="4" width="28.08984375" style="20" customWidth="1"/>
    <col min="5" max="5" width="9.90625" style="20" customWidth="1"/>
    <col min="6" max="6" width="7.453125" style="20" customWidth="1"/>
    <col min="7" max="7" width="10.08984375" style="20" bestFit="1" customWidth="1"/>
    <col min="8" max="8" width="14.54296875" style="20" customWidth="1"/>
    <col min="9" max="9" width="13.36328125" style="20" customWidth="1"/>
    <col min="10" max="10" width="10.1796875" style="20" bestFit="1" customWidth="1"/>
    <col min="11" max="12" width="9.08984375" style="20"/>
    <col min="13" max="13" width="11.54296875" style="20" bestFit="1" customWidth="1"/>
    <col min="14" max="16384" width="9.08984375" style="20"/>
  </cols>
  <sheetData>
    <row r="5" spans="1:13" ht="21" x14ac:dyDescent="0.25">
      <c r="A5" s="72" t="s">
        <v>62</v>
      </c>
      <c r="B5" s="72"/>
      <c r="C5" s="72"/>
      <c r="D5" s="72"/>
      <c r="E5" s="72"/>
      <c r="F5" s="72"/>
      <c r="G5" s="72"/>
      <c r="H5" s="72"/>
      <c r="I5" s="56"/>
    </row>
    <row r="6" spans="1:13" ht="6.75" customHeight="1" x14ac:dyDescent="0.25">
      <c r="A6" s="19"/>
      <c r="B6" s="19"/>
      <c r="C6" s="19"/>
      <c r="D6" s="19"/>
      <c r="E6" s="19"/>
      <c r="F6" s="18"/>
      <c r="G6" s="18"/>
    </row>
    <row r="7" spans="1:13" ht="21" x14ac:dyDescent="0.25">
      <c r="A7" s="72" t="s">
        <v>0</v>
      </c>
      <c r="B7" s="72"/>
      <c r="C7" s="72"/>
      <c r="D7" s="72"/>
      <c r="E7" s="72"/>
      <c r="F7" s="72"/>
      <c r="G7" s="72"/>
      <c r="H7" s="72"/>
      <c r="I7" s="56"/>
    </row>
    <row r="8" spans="1:13" ht="14.5" x14ac:dyDescent="0.25">
      <c r="A8" s="73" t="s">
        <v>32</v>
      </c>
      <c r="B8" s="73"/>
      <c r="C8" s="73"/>
      <c r="D8" s="73"/>
      <c r="E8" s="73"/>
      <c r="F8" s="73"/>
      <c r="G8" s="73"/>
      <c r="H8" s="73"/>
      <c r="I8" s="21"/>
    </row>
    <row r="9" spans="1:13" s="22" customFormat="1" ht="15" customHeight="1" x14ac:dyDescent="0.25">
      <c r="A9" s="74" t="s">
        <v>76</v>
      </c>
      <c r="B9" s="74"/>
      <c r="C9" s="74"/>
      <c r="D9" s="74"/>
      <c r="E9" s="74"/>
      <c r="F9" s="74"/>
      <c r="G9" s="74"/>
      <c r="H9" s="74"/>
      <c r="I9" s="57"/>
    </row>
    <row r="10" spans="1:13" ht="6.75" customHeight="1" x14ac:dyDescent="0.25">
      <c r="A10" s="21"/>
      <c r="B10" s="21"/>
      <c r="C10" s="21"/>
      <c r="D10" s="21"/>
      <c r="E10" s="21"/>
      <c r="F10" s="21"/>
      <c r="G10" s="21"/>
    </row>
    <row r="11" spans="1:13" s="27" customFormat="1" ht="34.5" customHeight="1" x14ac:dyDescent="0.25">
      <c r="A11" s="44" t="s">
        <v>37</v>
      </c>
      <c r="B11" s="44" t="s">
        <v>41</v>
      </c>
      <c r="C11" s="44" t="s">
        <v>39</v>
      </c>
      <c r="D11" s="44" t="s">
        <v>36</v>
      </c>
      <c r="E11" s="44" t="s">
        <v>3</v>
      </c>
      <c r="F11" s="44" t="s">
        <v>50</v>
      </c>
      <c r="G11" s="44" t="s">
        <v>47</v>
      </c>
      <c r="H11" s="44" t="s">
        <v>48</v>
      </c>
      <c r="I11" s="58"/>
      <c r="J11" s="27" t="s">
        <v>66</v>
      </c>
      <c r="K11" s="27" t="s">
        <v>67</v>
      </c>
      <c r="L11" s="27" t="s">
        <v>64</v>
      </c>
      <c r="M11" s="27" t="s">
        <v>65</v>
      </c>
    </row>
    <row r="12" spans="1:13" s="27" customFormat="1" ht="75.75" customHeight="1" x14ac:dyDescent="0.25">
      <c r="A12" s="38">
        <v>1</v>
      </c>
      <c r="B12" s="53" t="s">
        <v>80</v>
      </c>
      <c r="C12" s="40">
        <v>76061200</v>
      </c>
      <c r="D12" s="45" t="s">
        <v>82</v>
      </c>
      <c r="E12" s="46">
        <v>282.83</v>
      </c>
      <c r="F12" s="47" t="s">
        <v>81</v>
      </c>
      <c r="G12" s="46">
        <v>325</v>
      </c>
      <c r="H12" s="48">
        <f>E12*G12</f>
        <v>91919.75</v>
      </c>
      <c r="I12" s="59"/>
      <c r="J12" s="64">
        <f>E12*20</f>
        <v>5656.5999999999995</v>
      </c>
      <c r="K12" s="64"/>
      <c r="L12" s="27" t="e">
        <f>K12/M12</f>
        <v>#DIV/0!</v>
      </c>
    </row>
    <row r="13" spans="1:13" ht="20.25" customHeight="1" x14ac:dyDescent="0.25">
      <c r="A13" s="75"/>
      <c r="B13" s="35"/>
      <c r="C13" s="35"/>
      <c r="D13" s="35"/>
      <c r="E13" s="33" t="s">
        <v>24</v>
      </c>
      <c r="F13" s="39"/>
      <c r="G13" s="37"/>
      <c r="H13" s="41">
        <f>SUM(H12:H12)</f>
        <v>91919.75</v>
      </c>
      <c r="I13" s="60"/>
      <c r="K13" s="20" t="s">
        <v>51</v>
      </c>
    </row>
    <row r="14" spans="1:13" ht="20.25" customHeight="1" x14ac:dyDescent="0.25">
      <c r="A14" s="75"/>
      <c r="B14" s="35"/>
      <c r="C14" s="35"/>
      <c r="D14" s="77" t="s">
        <v>59</v>
      </c>
      <c r="E14" s="78"/>
      <c r="F14" s="39"/>
      <c r="G14" s="37"/>
      <c r="H14" s="41">
        <v>0</v>
      </c>
      <c r="I14" s="60"/>
    </row>
    <row r="15" spans="1:13" ht="20.25" customHeight="1" x14ac:dyDescent="0.25">
      <c r="A15" s="75"/>
      <c r="B15" s="35"/>
      <c r="C15" s="35"/>
      <c r="D15" s="77" t="s">
        <v>43</v>
      </c>
      <c r="E15" s="78"/>
      <c r="F15" s="39"/>
      <c r="G15" s="37"/>
      <c r="H15" s="41">
        <f>SUM(H13:H14)</f>
        <v>91919.75</v>
      </c>
      <c r="I15" s="60"/>
    </row>
    <row r="16" spans="1:13" ht="20.25" customHeight="1" x14ac:dyDescent="0.25">
      <c r="A16" s="75"/>
      <c r="B16" s="35"/>
      <c r="C16" s="35"/>
      <c r="D16" s="35"/>
      <c r="E16" s="32" t="s">
        <v>42</v>
      </c>
      <c r="F16" s="30" t="s">
        <v>25</v>
      </c>
      <c r="G16" s="30"/>
      <c r="H16" s="43">
        <f>H15*18%</f>
        <v>16545.555</v>
      </c>
      <c r="I16" s="61"/>
    </row>
    <row r="17" spans="1:9" ht="20.25" customHeight="1" x14ac:dyDescent="0.25">
      <c r="A17" s="75"/>
      <c r="B17" s="35"/>
      <c r="C17" s="35"/>
      <c r="D17" s="35"/>
      <c r="E17" s="33" t="s">
        <v>38</v>
      </c>
      <c r="F17" s="28"/>
      <c r="G17" s="28"/>
      <c r="H17" s="28">
        <v>-0.31</v>
      </c>
      <c r="I17" s="62"/>
    </row>
    <row r="18" spans="1:9" ht="20.25" customHeight="1" x14ac:dyDescent="0.25">
      <c r="A18" s="76"/>
      <c r="B18" s="36"/>
      <c r="C18" s="36"/>
      <c r="D18" s="36"/>
      <c r="E18" s="34" t="s">
        <v>26</v>
      </c>
      <c r="F18" s="29"/>
      <c r="G18" s="29"/>
      <c r="H18" s="28">
        <f>SUM(H15:H17)</f>
        <v>108464.995</v>
      </c>
      <c r="I18" s="62"/>
    </row>
    <row r="19" spans="1:9" ht="15" customHeight="1" x14ac:dyDescent="0.25">
      <c r="A19" s="71" t="s">
        <v>83</v>
      </c>
      <c r="B19" s="71"/>
      <c r="C19" s="71"/>
      <c r="D19" s="71"/>
      <c r="E19" s="71"/>
      <c r="F19" s="71"/>
      <c r="G19" s="71"/>
      <c r="H19" s="71"/>
      <c r="I19" s="63"/>
    </row>
    <row r="20" spans="1:9" ht="10.5" customHeight="1" x14ac:dyDescent="0.25">
      <c r="A20" s="23"/>
      <c r="B20" s="23"/>
      <c r="C20" s="23"/>
      <c r="D20" s="23"/>
      <c r="E20" s="23"/>
      <c r="F20" s="23"/>
      <c r="G20" s="23"/>
    </row>
    <row r="21" spans="1:9" ht="14.5" x14ac:dyDescent="0.25">
      <c r="A21" s="31" t="s">
        <v>27</v>
      </c>
      <c r="B21" s="31"/>
      <c r="C21" s="31"/>
      <c r="D21" s="31"/>
      <c r="E21" s="23"/>
      <c r="F21" s="23"/>
      <c r="G21" s="23"/>
    </row>
    <row r="22" spans="1:9" ht="12.75" customHeight="1" x14ac:dyDescent="0.25">
      <c r="A22" s="23"/>
      <c r="B22" s="23"/>
      <c r="C22" s="23"/>
      <c r="D22" s="23"/>
      <c r="E22" s="23"/>
      <c r="F22" s="23"/>
      <c r="G22" s="23"/>
    </row>
    <row r="23" spans="1:9" ht="15" customHeight="1" x14ac:dyDescent="0.35">
      <c r="A23" s="8" t="s">
        <v>55</v>
      </c>
      <c r="B23" s="24"/>
      <c r="C23" s="24"/>
      <c r="D23" s="24"/>
      <c r="E23" s="23"/>
      <c r="F23" s="23"/>
      <c r="G23" s="23"/>
      <c r="H23" s="25" t="s">
        <v>16</v>
      </c>
      <c r="I23" s="25"/>
    </row>
    <row r="24" spans="1:9" ht="18" customHeight="1" x14ac:dyDescent="0.25">
      <c r="A24" s="24"/>
      <c r="B24" s="24"/>
      <c r="C24" s="24"/>
      <c r="D24" s="24"/>
      <c r="E24" s="23"/>
      <c r="F24" s="23"/>
      <c r="G24" s="25"/>
    </row>
    <row r="25" spans="1:9" ht="63.65" customHeight="1" x14ac:dyDescent="0.25">
      <c r="A25" s="24"/>
      <c r="B25" s="24"/>
      <c r="C25" s="24"/>
      <c r="D25" s="24"/>
      <c r="E25" s="23"/>
      <c r="F25" s="23"/>
      <c r="G25" s="25"/>
    </row>
    <row r="26" spans="1:9" ht="18" customHeight="1" x14ac:dyDescent="0.25">
      <c r="A26" s="24" t="s">
        <v>15</v>
      </c>
      <c r="B26" s="24"/>
      <c r="C26" s="24"/>
      <c r="D26" s="24"/>
      <c r="E26" s="23"/>
      <c r="F26" s="23"/>
      <c r="G26" s="24"/>
      <c r="H26" s="17" t="s">
        <v>84</v>
      </c>
      <c r="I26" s="25"/>
    </row>
    <row r="27" spans="1:9" ht="12.65" customHeight="1" x14ac:dyDescent="0.25">
      <c r="A27" s="24"/>
      <c r="B27" s="24"/>
      <c r="C27" s="24"/>
      <c r="D27" s="24"/>
      <c r="E27" s="23"/>
      <c r="F27" s="23"/>
      <c r="G27" s="24"/>
      <c r="H27" s="25" t="s">
        <v>17</v>
      </c>
      <c r="I27" s="25"/>
    </row>
    <row r="28" spans="1:9" ht="14.5" x14ac:dyDescent="0.25">
      <c r="A28" s="24"/>
      <c r="B28" s="24"/>
      <c r="C28" s="24"/>
      <c r="D28" s="24"/>
      <c r="E28" s="23"/>
      <c r="F28" s="23"/>
      <c r="G28" s="25"/>
    </row>
    <row r="29" spans="1:9" ht="13" x14ac:dyDescent="0.25">
      <c r="A29" s="26"/>
      <c r="B29" s="26"/>
      <c r="C29" s="26"/>
      <c r="D29" s="26"/>
    </row>
    <row r="30" spans="1:9" ht="13" x14ac:dyDescent="0.25">
      <c r="A30" s="26"/>
      <c r="B30" s="26"/>
      <c r="C30" s="26"/>
      <c r="D30" s="26"/>
    </row>
    <row r="31" spans="1:9" ht="13" x14ac:dyDescent="0.25">
      <c r="A31" s="26"/>
      <c r="B31" s="26"/>
      <c r="C31" s="26"/>
      <c r="D31" s="26"/>
    </row>
    <row r="32" spans="1:9" ht="13" x14ac:dyDescent="0.25">
      <c r="A32" s="26"/>
      <c r="B32" s="26"/>
      <c r="C32" s="26"/>
      <c r="D32" s="26"/>
    </row>
    <row r="33" spans="1:4" ht="13" x14ac:dyDescent="0.25">
      <c r="A33" s="26"/>
      <c r="B33" s="26"/>
      <c r="C33" s="26"/>
      <c r="D33" s="26"/>
    </row>
    <row r="34" spans="1:4" ht="13" x14ac:dyDescent="0.25">
      <c r="A34" s="26"/>
      <c r="B34" s="26"/>
      <c r="C34" s="26"/>
      <c r="D34" s="26"/>
    </row>
    <row r="35" spans="1:4" ht="13" x14ac:dyDescent="0.25">
      <c r="A35" s="26"/>
      <c r="B35" s="26"/>
      <c r="C35" s="26"/>
      <c r="D35" s="26"/>
    </row>
    <row r="36" spans="1:4" ht="13" x14ac:dyDescent="0.25">
      <c r="A36" s="26"/>
      <c r="B36" s="26"/>
      <c r="C36" s="26"/>
      <c r="D36" s="26"/>
    </row>
  </sheetData>
  <mergeCells count="8">
    <mergeCell ref="A19:H19"/>
    <mergeCell ref="A5:H5"/>
    <mergeCell ref="A7:H7"/>
    <mergeCell ref="A8:H8"/>
    <mergeCell ref="A9:H9"/>
    <mergeCell ref="A13:A18"/>
    <mergeCell ref="D14:E14"/>
    <mergeCell ref="D15:E15"/>
  </mergeCells>
  <printOptions horizontalCentered="1"/>
  <pageMargins left="0.31496062992125984" right="0.15748031496062992" top="0.31496062992125984" bottom="0" header="0.23622047244094491" footer="0.15748031496062992"/>
  <pageSetup paperSize="9" scale="87" orientation="portrait" horizontalDpi="4294967293" verticalDpi="1200" r:id="rId1"/>
  <headerFooter alignWithMargins="0"/>
  <rowBreaks count="1" manualBreakCount="1">
    <brk id="27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 Lttr</vt:lpstr>
      <vt:lpstr>T&amp;C</vt:lpstr>
      <vt:lpstr>Qty-Rates &amp; Tech Sch</vt:lpstr>
      <vt:lpstr>'Qty-Rates &amp; Tech Sch'!Print_Area</vt:lpstr>
      <vt:lpstr>'T&amp;C'!Print_Area</vt:lpstr>
      <vt:lpstr>'Qty-Rates &amp; Tech Sch'!Print_Titles</vt:lpstr>
      <vt:lpstr>'T&amp;C'!Print_Titles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ruby s</cp:lastModifiedBy>
  <cp:lastPrinted>2025-11-24T17:20:18Z</cp:lastPrinted>
  <dcterms:created xsi:type="dcterms:W3CDTF">2010-04-30T07:04:17Z</dcterms:created>
  <dcterms:modified xsi:type="dcterms:W3CDTF">2025-11-29T08:05:27Z</dcterms:modified>
</cp:coreProperties>
</file>